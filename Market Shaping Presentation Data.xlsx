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gambi\Desktop\Supply Chain Data(BMGF)\"/>
    </mc:Choice>
  </mc:AlternateContent>
  <xr:revisionPtr revIDLastSave="0" documentId="13_ncr:1_{4DF4C80F-6D1B-4940-A4E0-AF954E6F937E}" xr6:coauthVersionLast="47" xr6:coauthVersionMax="47" xr10:uidLastSave="{00000000-0000-0000-0000-000000000000}"/>
  <bookViews>
    <workbookView xWindow="-110" yWindow="-110" windowWidth="19420" windowHeight="11500" xr2:uid="{2796273E-FD89-42E7-8914-E9ADCCD69F09}"/>
  </bookViews>
  <sheets>
    <sheet name="Kenya Quantification " sheetId="1" r:id="rId1"/>
    <sheet name="Nigeria quant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  <c r="G8" i="2"/>
  <c r="G3" i="2"/>
  <c r="G4" i="2"/>
  <c r="G5" i="2"/>
  <c r="G6" i="2"/>
  <c r="G7" i="2"/>
  <c r="G2" i="2"/>
  <c r="K3" i="1"/>
  <c r="K4" i="1"/>
  <c r="K5" i="1"/>
  <c r="J13" i="1"/>
  <c r="J3" i="1"/>
  <c r="J4" i="1"/>
  <c r="J5" i="1"/>
  <c r="J6" i="1"/>
  <c r="J7" i="1"/>
  <c r="J8" i="1"/>
  <c r="J9" i="1"/>
  <c r="J10" i="1"/>
  <c r="J2" i="1"/>
  <c r="I3" i="1"/>
  <c r="I4" i="1"/>
  <c r="I5" i="1"/>
  <c r="I6" i="1"/>
  <c r="K6" i="1" s="1"/>
  <c r="I7" i="1"/>
  <c r="K7" i="1" s="1"/>
  <c r="I8" i="1"/>
  <c r="K8" i="1" s="1"/>
  <c r="I9" i="1"/>
  <c r="K9" i="1" s="1"/>
  <c r="I10" i="1"/>
  <c r="K10" i="1" s="1"/>
  <c r="I11" i="1"/>
  <c r="I12" i="1"/>
  <c r="I13" i="1"/>
  <c r="K13" i="1" s="1"/>
  <c r="I2" i="1"/>
  <c r="K2" i="1" s="1"/>
  <c r="H3" i="1"/>
  <c r="H4" i="1"/>
  <c r="H5" i="1"/>
  <c r="H6" i="1"/>
  <c r="H7" i="1"/>
  <c r="H8" i="1"/>
  <c r="H9" i="1"/>
  <c r="H10" i="1"/>
  <c r="H11" i="1"/>
  <c r="H12" i="1"/>
  <c r="H13" i="1"/>
  <c r="H2" i="1"/>
  <c r="H14" i="1" s="1"/>
  <c r="E14" i="1"/>
  <c r="F14" i="1"/>
  <c r="G3" i="1"/>
  <c r="G4" i="1"/>
  <c r="G5" i="1"/>
  <c r="G6" i="1"/>
  <c r="G7" i="1"/>
  <c r="G8" i="1"/>
  <c r="G9" i="1"/>
  <c r="G10" i="1"/>
  <c r="G11" i="1"/>
  <c r="J11" i="1" s="1"/>
  <c r="G12" i="1"/>
  <c r="J12" i="1" s="1"/>
  <c r="G13" i="1"/>
  <c r="G2" i="1"/>
  <c r="K12" i="1" l="1"/>
  <c r="K14" i="1"/>
  <c r="K11" i="1"/>
  <c r="J14" i="1"/>
  <c r="I14" i="1"/>
  <c r="G14" i="1"/>
</calcChain>
</file>

<file path=xl/sharedStrings.xml><?xml version="1.0" encoding="utf-8"?>
<sst xmlns="http://schemas.openxmlformats.org/spreadsheetml/2006/main" count="42" uniqueCount="33">
  <si>
    <t>PRODUCT NAME</t>
  </si>
  <si>
    <t>Aggregate Average monthly Actual consumption</t>
  </si>
  <si>
    <t>Pack size</t>
  </si>
  <si>
    <t>AXMED Pooled Procurement Price USD</t>
  </si>
  <si>
    <t xml:space="preserve">Desk Quantity Estimates </t>
  </si>
  <si>
    <t xml:space="preserve"> Initial EPN Forecast USD       </t>
  </si>
  <si>
    <t>Actual  Consumption Facility Forecast</t>
  </si>
  <si>
    <t>Initial Desk Forecast</t>
  </si>
  <si>
    <t>VARIANCE EPN Estimates minus Actual Consumption Estimates</t>
  </si>
  <si>
    <t>Calibrated drapes</t>
  </si>
  <si>
    <t>Total</t>
  </si>
  <si>
    <t xml:space="preserve">Aggregate Average monthly Actual consumption </t>
  </si>
  <si>
    <t>pack size</t>
  </si>
  <si>
    <t xml:space="preserve"> Initial EPN Forecast     </t>
  </si>
  <si>
    <t xml:space="preserve">Variance </t>
  </si>
  <si>
    <t>Amoxicillin Dispersible 100tablet/pack</t>
  </si>
  <si>
    <t xml:space="preserve">Azithromycin Tablets </t>
  </si>
  <si>
    <t>Dexamethasone Sodium Phosphate Injection</t>
  </si>
  <si>
    <t>Gentamycin Sulphate Injection, (Dawagenta)</t>
  </si>
  <si>
    <t>Misoprostol (Cytomis)</t>
  </si>
  <si>
    <t xml:space="preserve">Tranexamic Acid Injection </t>
  </si>
  <si>
    <t>Amoxicillin 20 pack</t>
  </si>
  <si>
    <t>Amoxicillin  100 pack</t>
  </si>
  <si>
    <t>Azithromycin 500mg</t>
  </si>
  <si>
    <t xml:space="preserve">Carbetocin </t>
  </si>
  <si>
    <t xml:space="preserve">Dexamethasone </t>
  </si>
  <si>
    <t>Ferric C Maltose</t>
  </si>
  <si>
    <t xml:space="preserve">Gentamycin </t>
  </si>
  <si>
    <t xml:space="preserve">Misoprostol </t>
  </si>
  <si>
    <t>MMS</t>
  </si>
  <si>
    <t>Oxytocin</t>
  </si>
  <si>
    <t>Tranexamic Acid Inj</t>
  </si>
  <si>
    <r>
      <rPr>
        <b/>
        <sz val="8"/>
        <color theme="0"/>
        <rFont val="Calibri Light"/>
        <family val="2"/>
      </rPr>
      <t xml:space="preserve">AXMED </t>
    </r>
    <r>
      <rPr>
        <b/>
        <sz val="8"/>
        <color rgb="FF000000"/>
        <rFont val="Calibri Light"/>
        <family val="2"/>
      </rPr>
      <t>Pooled Procurement Price 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</si>
</sst>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Ksh&quot;#,##0.00"/>
    <numFmt numFmtId="165" formatCode="[$USD]\ 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 Light"/>
      <family val="2"/>
    </font>
    <font>
      <sz val="8"/>
      <color rgb="FF000000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8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/>
    <xf numFmtId="4" fontId="3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3" fillId="0" borderId="4" xfId="0" applyFont="1" applyBorder="1" applyAlignment="1">
      <alignment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3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How did products quantities change over time?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'Kenya Quantification '!$E$1</c:f>
              <c:strCache>
                <c:ptCount val="1"/>
                <c:pt idx="0">
                  <c:v>Desk Quantity Estimates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'Kenya Quantification '!$A$2:$A$13</c15:sqref>
                  </c15:fullRef>
                </c:ext>
              </c:extLst>
              <c:f>('Kenya Quantification '!$A$3,'Kenya Quantification '!$A$5:$A$7,'Kenya Quantification '!$A$12)</c:f>
              <c:strCache>
                <c:ptCount val="5"/>
                <c:pt idx="0">
                  <c:v>Amoxicillin  100 pack</c:v>
                </c:pt>
                <c:pt idx="1">
                  <c:v>Calibrated drapes</c:v>
                </c:pt>
                <c:pt idx="2">
                  <c:v>Carbetocin </c:v>
                </c:pt>
                <c:pt idx="3">
                  <c:v>Dexamethasone </c:v>
                </c:pt>
                <c:pt idx="4">
                  <c:v>Oxytocin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'Kenya Quantification '!$E$2:$E$13</c15:sqref>
                  </c15:fullRef>
                </c:ext>
              </c:extLst>
              <c:f>('Kenya Quantification '!$E$3,'Kenya Quantification '!$E$5:$E$7,'Kenya Quantification '!$E$12)</c:f>
              <c:numCache>
                <c:formatCode>#,##0</c:formatCode>
                <c:ptCount val="5"/>
                <c:pt idx="0">
                  <c:v>209</c:v>
                </c:pt>
                <c:pt idx="1">
                  <c:v>6930</c:v>
                </c:pt>
                <c:pt idx="2">
                  <c:v>1663</c:v>
                </c:pt>
                <c:pt idx="3">
                  <c:v>1109</c:v>
                </c:pt>
                <c:pt idx="4">
                  <c:v>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0-4AB9-B077-68C7F89423E9}"/>
            </c:ext>
          </c:extLst>
        </c:ser>
        <c:ser>
          <c:idx val="1"/>
          <c:order val="1"/>
          <c:tx>
            <c:strRef>
              <c:f>'Kenya Quantification '!$F$1</c:f>
              <c:strCache>
                <c:ptCount val="1"/>
                <c:pt idx="0">
                  <c:v> Initial EPN Forecast USD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'Kenya Quantification '!$A$2:$A$13</c15:sqref>
                  </c15:fullRef>
                </c:ext>
              </c:extLst>
              <c:f>('Kenya Quantification '!$A$3,'Kenya Quantification '!$A$5:$A$7,'Kenya Quantification '!$A$12)</c:f>
              <c:strCache>
                <c:ptCount val="5"/>
                <c:pt idx="0">
                  <c:v>Amoxicillin  100 pack</c:v>
                </c:pt>
                <c:pt idx="1">
                  <c:v>Calibrated drapes</c:v>
                </c:pt>
                <c:pt idx="2">
                  <c:v>Carbetocin </c:v>
                </c:pt>
                <c:pt idx="3">
                  <c:v>Dexamethasone </c:v>
                </c:pt>
                <c:pt idx="4">
                  <c:v>Oxytocin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'Kenya Quantification '!$F$2:$F$13</c15:sqref>
                  </c15:fullRef>
                </c:ext>
              </c:extLst>
              <c:f>('Kenya Quantification '!$F$3,'Kenya Quantification '!$F$5:$F$7,'Kenya Quantification '!$F$12)</c:f>
              <c:numCache>
                <c:formatCode>#,##0</c:formatCode>
                <c:ptCount val="5"/>
                <c:pt idx="0">
                  <c:v>29024.29</c:v>
                </c:pt>
                <c:pt idx="1">
                  <c:v>896.3</c:v>
                </c:pt>
                <c:pt idx="2">
                  <c:v>1230.1600000000001</c:v>
                </c:pt>
                <c:pt idx="3">
                  <c:v>9425.24</c:v>
                </c:pt>
                <c:pt idx="4">
                  <c:v>18202.41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0-4AB9-B077-68C7F89423E9}"/>
            </c:ext>
          </c:extLst>
        </c:ser>
        <c:ser>
          <c:idx val="2"/>
          <c:order val="2"/>
          <c:tx>
            <c:strRef>
              <c:f>'Kenya Quantification '!$G$1</c:f>
              <c:strCache>
                <c:ptCount val="1"/>
                <c:pt idx="0">
                  <c:v>Actual  Consumption Facility Forecast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'Kenya Quantification '!$A$2:$A$13</c15:sqref>
                  </c15:fullRef>
                </c:ext>
              </c:extLst>
              <c:f>('Kenya Quantification '!$A$3,'Kenya Quantification '!$A$5:$A$7,'Kenya Quantification '!$A$12)</c:f>
              <c:strCache>
                <c:ptCount val="5"/>
                <c:pt idx="0">
                  <c:v>Amoxicillin  100 pack</c:v>
                </c:pt>
                <c:pt idx="1">
                  <c:v>Calibrated drapes</c:v>
                </c:pt>
                <c:pt idx="2">
                  <c:v>Carbetocin </c:v>
                </c:pt>
                <c:pt idx="3">
                  <c:v>Dexamethasone </c:v>
                </c:pt>
                <c:pt idx="4">
                  <c:v>Oxytocin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'Kenya Quantification '!$G$2:$G$13</c15:sqref>
                  </c15:fullRef>
                </c:ext>
              </c:extLst>
              <c:f>('Kenya Quantification '!$G$3,'Kenya Quantification '!$G$5:$G$7,'Kenya Quantification '!$G$12)</c:f>
              <c:numCache>
                <c:formatCode>#,##0</c:formatCode>
                <c:ptCount val="5"/>
                <c:pt idx="0">
                  <c:v>26000</c:v>
                </c:pt>
                <c:pt idx="1">
                  <c:v>460</c:v>
                </c:pt>
                <c:pt idx="2">
                  <c:v>1624</c:v>
                </c:pt>
                <c:pt idx="3">
                  <c:v>7792</c:v>
                </c:pt>
                <c:pt idx="4">
                  <c:v>16808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0-4AB9-B077-68C7F8942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577967"/>
        <c:axId val="622578927"/>
      </c:barChart>
      <c:catAx>
        <c:axId val="6225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22578927"/>
        <c:crosses val="autoZero"/>
        <c:auto val="1"/>
        <c:lblAlgn val="ctr"/>
        <c:lblOffset val="100"/>
        <c:noMultiLvlLbl val="0"/>
      </c:catAx>
      <c:valAx>
        <c:axId val="6225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</a:t>
                </a:r>
                <a:r>
                  <a:rPr lang="en-GB" baseline="0"/>
                  <a:t> Quantities.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225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213224</xdr:colOff>
      <xdr:row>0</xdr:row>
      <xdr:rowOff>94074</xdr:rowOff>
    </xdr:from>
    <xdr:to>
      <xdr:col>23</xdr:col>
      <xdr:colOff>227345</xdr:colOff>
      <xdr:row>14</xdr:row>
      <xdr:rowOff>78395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F7D38-5697-1071-D0D4-5734B52A3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E5D8-A044-424E-9F22-CC73B528557C}">
  <dimension ref="A1:K15"/>
  <sheetViews>
    <sheetView tabSelected="1" zoomScale="80" zoomScaleNormal="80" workbookViewId="0">
      <selection activeCell="L20" sqref="L20"/>
    </sheetView>
  </sheetViews>
  <sheetFormatPr defaultRowHeight="14.5" x14ac:dyDescent="0.35"/>
  <cols>
    <col min="1" max="1" width="11.81640625" bestFit="1" customWidth="1"/>
    <col min="2" max="2" width="11.6328125" hidden="1" customWidth="1"/>
    <col min="3" max="3" width="0" hidden="1" customWidth="1"/>
    <col min="4" max="4" width="12.453125" hidden="1" customWidth="1"/>
    <col min="7" max="7" width="16.453125" customWidth="1"/>
    <col min="8" max="8" width="10.54296875" bestFit="1" customWidth="1"/>
    <col min="9" max="9" width="13.7265625" customWidth="1"/>
    <col min="10" max="10" width="15.08984375" customWidth="1"/>
    <col min="11" max="11" width="13.08984375" customWidth="1"/>
  </cols>
  <sheetData>
    <row r="1" spans="1:11" ht="53" thickBot="1" x14ac:dyDescent="0.4">
      <c r="A1" s="14" t="s">
        <v>0</v>
      </c>
      <c r="B1" s="14" t="s">
        <v>1</v>
      </c>
      <c r="C1" s="14" t="s">
        <v>2</v>
      </c>
      <c r="D1" s="14" t="s">
        <v>32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5</v>
      </c>
      <c r="J1" s="3" t="s">
        <v>6</v>
      </c>
      <c r="K1" s="3" t="s">
        <v>8</v>
      </c>
    </row>
    <row r="2" spans="1:11" ht="21.5" thickBot="1" x14ac:dyDescent="0.4">
      <c r="A2" s="4" t="s">
        <v>21</v>
      </c>
      <c r="B2" s="10">
        <v>1194</v>
      </c>
      <c r="C2" s="11">
        <v>20</v>
      </c>
      <c r="D2" s="15">
        <v>0.55000000000000004</v>
      </c>
      <c r="E2" s="30">
        <v>9702</v>
      </c>
      <c r="F2" s="30">
        <v>8771.11</v>
      </c>
      <c r="G2" s="30">
        <f>B2*4</f>
        <v>4776</v>
      </c>
      <c r="H2" s="15">
        <f>D2*E2</f>
        <v>5336.1</v>
      </c>
      <c r="I2" s="15">
        <f>F2*D2</f>
        <v>4824.1105000000007</v>
      </c>
      <c r="J2" s="12">
        <f>D2*G2</f>
        <v>2626.8</v>
      </c>
      <c r="K2" s="15">
        <f>I2-J2</f>
        <v>2197.3105000000005</v>
      </c>
    </row>
    <row r="3" spans="1:11" ht="21.5" thickBot="1" x14ac:dyDescent="0.4">
      <c r="A3" s="4" t="s">
        <v>22</v>
      </c>
      <c r="B3" s="10">
        <v>6500</v>
      </c>
      <c r="C3" s="11">
        <v>100</v>
      </c>
      <c r="D3" s="15">
        <v>2.1800000000000002</v>
      </c>
      <c r="E3" s="30">
        <v>209</v>
      </c>
      <c r="F3" s="30">
        <v>29024.29</v>
      </c>
      <c r="G3" s="30">
        <f t="shared" ref="G3:G13" si="0">B3*4</f>
        <v>26000</v>
      </c>
      <c r="H3" s="15">
        <f t="shared" ref="H3:H13" si="1">D3*E3</f>
        <v>455.62000000000006</v>
      </c>
      <c r="I3" s="15">
        <f t="shared" ref="I3:I13" si="2">F3*D3</f>
        <v>63272.952200000007</v>
      </c>
      <c r="J3" s="12">
        <f t="shared" ref="J3:J10" si="3">D3*G3</f>
        <v>56680.000000000007</v>
      </c>
      <c r="K3" s="15">
        <f t="shared" ref="K3:K13" si="4">I3-J3</f>
        <v>6592.9521999999997</v>
      </c>
    </row>
    <row r="4" spans="1:11" ht="21.5" thickBot="1" x14ac:dyDescent="0.4">
      <c r="A4" s="4" t="s">
        <v>23</v>
      </c>
      <c r="B4" s="10">
        <v>3804</v>
      </c>
      <c r="C4" s="11">
        <v>10</v>
      </c>
      <c r="D4" s="15">
        <v>0.41</v>
      </c>
      <c r="E4" s="30">
        <v>11550</v>
      </c>
      <c r="F4" s="30">
        <v>15370.9</v>
      </c>
      <c r="G4" s="30">
        <f t="shared" si="0"/>
        <v>15216</v>
      </c>
      <c r="H4" s="15">
        <f t="shared" si="1"/>
        <v>4735.5</v>
      </c>
      <c r="I4" s="15">
        <f t="shared" si="2"/>
        <v>6302.0689999999995</v>
      </c>
      <c r="J4" s="12">
        <f t="shared" si="3"/>
        <v>6238.5599999999995</v>
      </c>
      <c r="K4" s="15">
        <f t="shared" si="4"/>
        <v>63.509000000000015</v>
      </c>
    </row>
    <row r="5" spans="1:11" ht="15" thickBot="1" x14ac:dyDescent="0.4">
      <c r="A5" s="4" t="s">
        <v>9</v>
      </c>
      <c r="B5" s="10">
        <v>115</v>
      </c>
      <c r="C5" s="11">
        <v>1</v>
      </c>
      <c r="D5" s="15">
        <v>0.97</v>
      </c>
      <c r="E5" s="30">
        <v>6930</v>
      </c>
      <c r="F5" s="30">
        <v>896.3</v>
      </c>
      <c r="G5" s="30">
        <f t="shared" si="0"/>
        <v>460</v>
      </c>
      <c r="H5" s="15">
        <f t="shared" si="1"/>
        <v>6722.0999999999995</v>
      </c>
      <c r="I5" s="15">
        <f t="shared" si="2"/>
        <v>869.41099999999994</v>
      </c>
      <c r="J5" s="12">
        <f t="shared" si="3"/>
        <v>446.2</v>
      </c>
      <c r="K5" s="15">
        <f t="shared" si="4"/>
        <v>423.21099999999996</v>
      </c>
    </row>
    <row r="6" spans="1:11" ht="15" thickBot="1" x14ac:dyDescent="0.4">
      <c r="A6" s="4" t="s">
        <v>24</v>
      </c>
      <c r="B6" s="10">
        <v>406</v>
      </c>
      <c r="C6" s="11">
        <v>5</v>
      </c>
      <c r="D6" s="15">
        <v>7.38</v>
      </c>
      <c r="E6" s="30">
        <v>1663</v>
      </c>
      <c r="F6" s="30">
        <v>1230.1600000000001</v>
      </c>
      <c r="G6" s="30">
        <f t="shared" si="0"/>
        <v>1624</v>
      </c>
      <c r="H6" s="15">
        <f t="shared" si="1"/>
        <v>12272.94</v>
      </c>
      <c r="I6" s="15">
        <f t="shared" si="2"/>
        <v>9078.5807999999997</v>
      </c>
      <c r="J6" s="12">
        <f t="shared" si="3"/>
        <v>11985.119999999999</v>
      </c>
      <c r="K6" s="15">
        <f t="shared" si="4"/>
        <v>-2906.5391999999993</v>
      </c>
    </row>
    <row r="7" spans="1:11" ht="15" thickBot="1" x14ac:dyDescent="0.4">
      <c r="A7" s="4" t="s">
        <v>25</v>
      </c>
      <c r="B7" s="10">
        <v>1948</v>
      </c>
      <c r="C7" s="11">
        <v>10</v>
      </c>
      <c r="D7" s="15">
        <v>0.62</v>
      </c>
      <c r="E7" s="30">
        <v>1109</v>
      </c>
      <c r="F7" s="30">
        <v>9425.24</v>
      </c>
      <c r="G7" s="30">
        <f t="shared" si="0"/>
        <v>7792</v>
      </c>
      <c r="H7" s="15">
        <f t="shared" si="1"/>
        <v>687.58</v>
      </c>
      <c r="I7" s="15">
        <f t="shared" si="2"/>
        <v>5843.6487999999999</v>
      </c>
      <c r="J7" s="12">
        <f t="shared" si="3"/>
        <v>4831.04</v>
      </c>
      <c r="K7" s="15">
        <f t="shared" si="4"/>
        <v>1012.6088</v>
      </c>
    </row>
    <row r="8" spans="1:11" ht="15" thickBot="1" x14ac:dyDescent="0.4">
      <c r="A8" s="4" t="s">
        <v>26</v>
      </c>
      <c r="B8" s="10">
        <v>55</v>
      </c>
      <c r="C8" s="11">
        <v>1</v>
      </c>
      <c r="D8" s="15">
        <v>88.62</v>
      </c>
      <c r="E8" s="30">
        <v>2300</v>
      </c>
      <c r="F8" s="30">
        <v>801.54</v>
      </c>
      <c r="G8" s="30">
        <f t="shared" si="0"/>
        <v>220</v>
      </c>
      <c r="H8" s="15">
        <f t="shared" si="1"/>
        <v>203826</v>
      </c>
      <c r="I8" s="15">
        <f t="shared" si="2"/>
        <v>71032.474799999996</v>
      </c>
      <c r="J8" s="12">
        <f t="shared" si="3"/>
        <v>19496.400000000001</v>
      </c>
      <c r="K8" s="15">
        <f t="shared" si="4"/>
        <v>51536.074799999995</v>
      </c>
    </row>
    <row r="9" spans="1:11" ht="15" thickBot="1" x14ac:dyDescent="0.4">
      <c r="A9" s="4" t="s">
        <v>27</v>
      </c>
      <c r="B9" s="10">
        <v>2467</v>
      </c>
      <c r="C9" s="11">
        <v>10</v>
      </c>
      <c r="D9" s="15">
        <v>0.62</v>
      </c>
      <c r="E9" s="30">
        <v>1109</v>
      </c>
      <c r="F9" s="30">
        <v>10261.57</v>
      </c>
      <c r="G9" s="30">
        <f t="shared" si="0"/>
        <v>9868</v>
      </c>
      <c r="H9" s="15">
        <f t="shared" si="1"/>
        <v>687.58</v>
      </c>
      <c r="I9" s="15">
        <f t="shared" si="2"/>
        <v>6362.1733999999997</v>
      </c>
      <c r="J9" s="12">
        <f t="shared" si="3"/>
        <v>6118.16</v>
      </c>
      <c r="K9" s="15">
        <f t="shared" si="4"/>
        <v>244.01339999999982</v>
      </c>
    </row>
    <row r="10" spans="1:11" ht="15" thickBot="1" x14ac:dyDescent="0.4">
      <c r="A10" s="4" t="s">
        <v>28</v>
      </c>
      <c r="B10" s="10">
        <v>1112</v>
      </c>
      <c r="C10" s="11">
        <v>10</v>
      </c>
      <c r="D10" s="15">
        <v>3.19</v>
      </c>
      <c r="E10" s="30">
        <v>1386</v>
      </c>
      <c r="F10" s="30">
        <v>5485.96</v>
      </c>
      <c r="G10" s="30">
        <f t="shared" si="0"/>
        <v>4448</v>
      </c>
      <c r="H10" s="15">
        <f t="shared" si="1"/>
        <v>4421.34</v>
      </c>
      <c r="I10" s="15">
        <f t="shared" si="2"/>
        <v>17500.2124</v>
      </c>
      <c r="J10" s="12">
        <f t="shared" si="3"/>
        <v>14189.119999999999</v>
      </c>
      <c r="K10" s="15">
        <f t="shared" si="4"/>
        <v>3311.0924000000014</v>
      </c>
    </row>
    <row r="11" spans="1:11" ht="15" thickBot="1" x14ac:dyDescent="0.4">
      <c r="A11" s="4" t="s">
        <v>29</v>
      </c>
      <c r="B11" s="10">
        <v>365</v>
      </c>
      <c r="C11" s="11">
        <v>180</v>
      </c>
      <c r="D11" s="15">
        <v>6.6</v>
      </c>
      <c r="E11" s="30">
        <v>8106</v>
      </c>
      <c r="F11" s="30">
        <v>3580.95</v>
      </c>
      <c r="G11" s="30">
        <f t="shared" si="0"/>
        <v>1460</v>
      </c>
      <c r="H11" s="15">
        <f t="shared" si="1"/>
        <v>53499.6</v>
      </c>
      <c r="I11" s="15">
        <f t="shared" si="2"/>
        <v>23634.269999999997</v>
      </c>
      <c r="J11" s="12">
        <f>D11*G11</f>
        <v>9636</v>
      </c>
      <c r="K11" s="15">
        <f t="shared" si="4"/>
        <v>13998.269999999997</v>
      </c>
    </row>
    <row r="12" spans="1:11" ht="15" thickBot="1" x14ac:dyDescent="0.4">
      <c r="A12" s="4" t="s">
        <v>30</v>
      </c>
      <c r="B12" s="10">
        <v>4202</v>
      </c>
      <c r="C12" s="11">
        <v>10</v>
      </c>
      <c r="D12" s="15">
        <v>1.55</v>
      </c>
      <c r="E12" s="30">
        <v>8316</v>
      </c>
      <c r="F12" s="30">
        <v>18202.41</v>
      </c>
      <c r="G12" s="30">
        <f t="shared" si="0"/>
        <v>16808</v>
      </c>
      <c r="H12" s="15">
        <f t="shared" si="1"/>
        <v>12889.800000000001</v>
      </c>
      <c r="I12" s="15">
        <f t="shared" si="2"/>
        <v>28213.735499999999</v>
      </c>
      <c r="J12" s="12">
        <f>D12*G12</f>
        <v>26052.400000000001</v>
      </c>
      <c r="K12" s="15">
        <f t="shared" si="4"/>
        <v>2161.3354999999974</v>
      </c>
    </row>
    <row r="13" spans="1:11" ht="21.5" thickBot="1" x14ac:dyDescent="0.4">
      <c r="A13" s="4" t="s">
        <v>31</v>
      </c>
      <c r="B13" s="10">
        <v>1000</v>
      </c>
      <c r="C13" s="11">
        <v>10</v>
      </c>
      <c r="D13" s="15">
        <v>2.04</v>
      </c>
      <c r="E13" s="30">
        <v>166</v>
      </c>
      <c r="F13" s="30">
        <v>4502.45</v>
      </c>
      <c r="G13" s="30">
        <f t="shared" si="0"/>
        <v>4000</v>
      </c>
      <c r="H13" s="15">
        <f t="shared" si="1"/>
        <v>338.64</v>
      </c>
      <c r="I13" s="15">
        <f t="shared" si="2"/>
        <v>9184.9979999999996</v>
      </c>
      <c r="J13" s="12">
        <f t="shared" ref="J13" si="5">D13*G13</f>
        <v>8160</v>
      </c>
      <c r="K13" s="15">
        <f t="shared" si="4"/>
        <v>1024.9979999999996</v>
      </c>
    </row>
    <row r="14" spans="1:11" ht="15" thickBot="1" x14ac:dyDescent="0.4">
      <c r="A14" s="5" t="s">
        <v>10</v>
      </c>
      <c r="B14" s="6"/>
      <c r="C14" s="7"/>
      <c r="D14" s="16"/>
      <c r="E14" s="8">
        <f t="shared" ref="E14:F14" si="6">SUM(E2:E13)</f>
        <v>52546</v>
      </c>
      <c r="F14" s="8">
        <f t="shared" si="6"/>
        <v>107552.88000000002</v>
      </c>
      <c r="G14" s="8">
        <f>SUM(G2:G13)</f>
        <v>92672</v>
      </c>
      <c r="H14" s="8">
        <f t="shared" ref="H14:K14" si="7">SUM(H2:H13)</f>
        <v>305872.8</v>
      </c>
      <c r="I14" s="8">
        <f t="shared" si="7"/>
        <v>246118.63639999996</v>
      </c>
      <c r="J14" s="8">
        <f t="shared" si="7"/>
        <v>166459.79999999999</v>
      </c>
      <c r="K14" s="8">
        <f t="shared" si="7"/>
        <v>79658.8364</v>
      </c>
    </row>
    <row r="15" spans="1:11" x14ac:dyDescent="0.35">
      <c r="A15" s="9"/>
      <c r="D15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3F2E-1363-4083-A0A7-04752A079270}">
  <dimension ref="A1:L8"/>
  <sheetViews>
    <sheetView workbookViewId="0">
      <selection activeCell="H10" sqref="H10"/>
    </sheetView>
  </sheetViews>
  <sheetFormatPr defaultColWidth="13" defaultRowHeight="21" customHeight="1" x14ac:dyDescent="0.35"/>
  <cols>
    <col min="1" max="1" width="29" customWidth="1"/>
    <col min="7" max="7" width="14.453125" customWidth="1"/>
  </cols>
  <sheetData>
    <row r="1" spans="1:12" ht="51" customHeight="1" x14ac:dyDescent="0.35">
      <c r="A1" s="28" t="s">
        <v>0</v>
      </c>
      <c r="B1" s="28" t="s">
        <v>11</v>
      </c>
      <c r="C1" s="28" t="s">
        <v>12</v>
      </c>
      <c r="D1" s="28" t="s">
        <v>3</v>
      </c>
      <c r="E1" s="29" t="s">
        <v>4</v>
      </c>
      <c r="F1" s="29" t="s">
        <v>13</v>
      </c>
      <c r="G1" s="29" t="s">
        <v>6</v>
      </c>
      <c r="H1" s="27" t="s">
        <v>7</v>
      </c>
      <c r="I1" s="27" t="s">
        <v>5</v>
      </c>
      <c r="J1" s="27" t="s">
        <v>6</v>
      </c>
      <c r="K1" s="27" t="s">
        <v>14</v>
      </c>
      <c r="L1" s="17"/>
    </row>
    <row r="2" spans="1:12" ht="21" customHeight="1" thickBot="1" x14ac:dyDescent="0.4">
      <c r="A2" s="18" t="s">
        <v>15</v>
      </c>
      <c r="B2" s="19">
        <v>1931</v>
      </c>
      <c r="C2" s="20">
        <v>10</v>
      </c>
      <c r="D2" s="20">
        <v>2.56</v>
      </c>
      <c r="E2" s="21">
        <v>4889</v>
      </c>
      <c r="F2" s="21">
        <v>5674</v>
      </c>
      <c r="G2" s="19">
        <f>B2*4</f>
        <v>7724</v>
      </c>
      <c r="H2" s="21">
        <f>D2*E2</f>
        <v>12515.84</v>
      </c>
      <c r="I2" s="21">
        <v>14542</v>
      </c>
      <c r="J2" s="21">
        <v>19797</v>
      </c>
      <c r="K2" s="21">
        <v>-5254</v>
      </c>
      <c r="L2" s="17"/>
    </row>
    <row r="3" spans="1:12" ht="21" customHeight="1" thickBot="1" x14ac:dyDescent="0.4">
      <c r="A3" s="18" t="s">
        <v>16</v>
      </c>
      <c r="B3" s="21">
        <v>2866</v>
      </c>
      <c r="C3" s="20">
        <v>10</v>
      </c>
      <c r="D3" s="20">
        <v>1.48</v>
      </c>
      <c r="E3" s="19">
        <v>4847</v>
      </c>
      <c r="F3" s="19">
        <v>8370.1</v>
      </c>
      <c r="G3" s="19">
        <f t="shared" ref="G3:G7" si="0">B3*4</f>
        <v>11464</v>
      </c>
      <c r="H3" s="21">
        <f t="shared" ref="H3:H7" si="1">D3*E3</f>
        <v>7173.5599999999995</v>
      </c>
      <c r="I3" s="21">
        <v>12376</v>
      </c>
      <c r="J3" s="21">
        <v>16954</v>
      </c>
      <c r="K3" s="21">
        <v>-4577</v>
      </c>
      <c r="L3" s="17"/>
    </row>
    <row r="4" spans="1:12" ht="21" customHeight="1" thickBot="1" x14ac:dyDescent="0.4">
      <c r="A4" s="18" t="s">
        <v>17</v>
      </c>
      <c r="B4" s="21">
        <v>3657</v>
      </c>
      <c r="C4" s="20">
        <v>10</v>
      </c>
      <c r="D4" s="20">
        <v>0.35</v>
      </c>
      <c r="E4" s="20">
        <v>559</v>
      </c>
      <c r="F4" s="19">
        <v>10897.9</v>
      </c>
      <c r="G4" s="19">
        <f t="shared" si="0"/>
        <v>14628</v>
      </c>
      <c r="H4" s="21">
        <f t="shared" si="1"/>
        <v>195.64999999999998</v>
      </c>
      <c r="I4" s="21">
        <v>3793</v>
      </c>
      <c r="J4" s="21">
        <v>5092</v>
      </c>
      <c r="K4" s="21">
        <v>-1298</v>
      </c>
      <c r="L4" s="17"/>
    </row>
    <row r="5" spans="1:12" ht="21" customHeight="1" thickBot="1" x14ac:dyDescent="0.4">
      <c r="A5" s="18" t="s">
        <v>18</v>
      </c>
      <c r="B5" s="21">
        <v>6321</v>
      </c>
      <c r="C5" s="20">
        <v>10</v>
      </c>
      <c r="D5" s="20">
        <v>0.5</v>
      </c>
      <c r="E5" s="20">
        <v>559</v>
      </c>
      <c r="F5" s="19">
        <v>18586.099999999999</v>
      </c>
      <c r="G5" s="19">
        <f t="shared" si="0"/>
        <v>25284</v>
      </c>
      <c r="H5" s="21">
        <f t="shared" si="1"/>
        <v>279.5</v>
      </c>
      <c r="I5" s="21">
        <v>9342</v>
      </c>
      <c r="J5" s="21">
        <v>12710</v>
      </c>
      <c r="K5" s="21">
        <v>-3368</v>
      </c>
      <c r="L5" s="17"/>
    </row>
    <row r="6" spans="1:12" ht="21" customHeight="1" thickBot="1" x14ac:dyDescent="0.4">
      <c r="A6" s="18" t="s">
        <v>19</v>
      </c>
      <c r="B6" s="21">
        <v>1707</v>
      </c>
      <c r="C6" s="20">
        <v>10</v>
      </c>
      <c r="D6" s="20">
        <v>5.23</v>
      </c>
      <c r="E6" s="21">
        <v>5816</v>
      </c>
      <c r="F6" s="21">
        <v>4952</v>
      </c>
      <c r="G6" s="19">
        <f t="shared" si="0"/>
        <v>6828</v>
      </c>
      <c r="H6" s="21">
        <f t="shared" si="1"/>
        <v>30417.680000000004</v>
      </c>
      <c r="I6" s="21">
        <v>25891</v>
      </c>
      <c r="J6" s="21">
        <v>35718</v>
      </c>
      <c r="K6" s="21">
        <v>-9827</v>
      </c>
      <c r="L6" s="17"/>
    </row>
    <row r="7" spans="1:12" ht="21" customHeight="1" thickBot="1" x14ac:dyDescent="0.4">
      <c r="A7" s="18" t="s">
        <v>20</v>
      </c>
      <c r="B7" s="21">
        <v>1078</v>
      </c>
      <c r="C7" s="20">
        <v>10</v>
      </c>
      <c r="D7" s="20">
        <v>4.18</v>
      </c>
      <c r="E7" s="20">
        <v>155</v>
      </c>
      <c r="F7" s="19">
        <v>3149.3</v>
      </c>
      <c r="G7" s="19">
        <f t="shared" si="0"/>
        <v>4312</v>
      </c>
      <c r="H7" s="21">
        <f t="shared" si="1"/>
        <v>647.9</v>
      </c>
      <c r="I7" s="21">
        <v>13164</v>
      </c>
      <c r="J7" s="21">
        <v>18034</v>
      </c>
      <c r="K7" s="21">
        <v>-4870</v>
      </c>
      <c r="L7" s="17"/>
    </row>
    <row r="8" spans="1:12" ht="21" customHeight="1" thickBot="1" x14ac:dyDescent="0.4">
      <c r="A8" s="24" t="s">
        <v>10</v>
      </c>
      <c r="B8" s="25"/>
      <c r="C8" s="25"/>
      <c r="D8" s="26"/>
      <c r="E8" s="22">
        <v>16825</v>
      </c>
      <c r="F8" s="22">
        <v>51630</v>
      </c>
      <c r="G8" s="22">
        <f>SUM(G2:G7)</f>
        <v>70240</v>
      </c>
      <c r="H8" s="23">
        <v>51229.25</v>
      </c>
      <c r="I8" s="23">
        <v>79108.990000000005</v>
      </c>
      <c r="J8" s="23">
        <v>108303.71</v>
      </c>
      <c r="K8" s="23">
        <v>-29194.720000000001</v>
      </c>
      <c r="L8" s="17"/>
    </row>
  </sheetData>
  <mergeCells count="1"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Kenya Quantification </vt:lpstr>
      <vt:lpstr>Nigeria quantification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Mugambi Mbaya</dc:creator>
  <cp:lastModifiedBy>Mugambi Mbaya</cp:lastModifiedBy>
  <dcterms:created xsi:type="dcterms:W3CDTF">2025-07-28T11:50:51Z</dcterms:created>
  <dcterms:modified xsi:type="dcterms:W3CDTF">2025-07-29T19:06:17Z</dcterms:modified>
</cp:coreProperties>
</file>